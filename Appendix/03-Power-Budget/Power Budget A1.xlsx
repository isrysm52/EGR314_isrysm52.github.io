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<sst xmlns="http://schemas.openxmlformats.org/spreadsheetml/2006/main" count="77" uniqueCount="45">
  <si>
    <t>Power Budget A1</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</si>
  <si>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</si>
  <si>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</si>
  <si>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</si>
  <si>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</si>
  <si>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</si>
  <si>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</si>
  <si>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</si>
  <si>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</si>
  <si>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</si>
  <si>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</si>
  <si>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r>
      <t>Absolute
Maximum
Current (mA)</t>
    </r>
    <r>
      <rPr>
        <rFont val="Arial"/>
        <b/>
        <color rgb="FF1155CC"/>
        <sz val="12.0"/>
        <u/>
      </rPr>
      <t>[1]</t>
    </r>
  </si>
  <si>
    <t>Total
Current
(mA)</t>
  </si>
  <si>
    <t>Unit</t>
  </si>
  <si>
    <t>ESP32</t>
  </si>
  <si>
    <t>1965-ESP32-S3-WROOM-1-N4CT-ND</t>
  </si>
  <si>
    <t>3-3.6 V</t>
  </si>
  <si>
    <t>mA</t>
  </si>
  <si>
    <t>OLED Screen</t>
  </si>
  <si>
    <t>I2C IIC SSD1306</t>
  </si>
  <si>
    <t>3-5 V</t>
  </si>
  <si>
    <t>B. Assign each major component above to ONE power rail below. Try to minimize the number of different power rails in the design.
Add additional power rails or change the power rail voltages if needed.</t>
  </si>
  <si>
    <t>3.3V Power Rail</t>
  </si>
  <si>
    <t>Absolute
Maximum
Current (mA)</t>
  </si>
  <si>
    <t>Subtotal</t>
  </si>
  <si>
    <t>Safety Margin</t>
  </si>
  <si>
    <t>Total Current Required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</si>
  <si>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</si>
  <si>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</si>
  <si>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</si>
  <si>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</si>
  <si>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</si>
  <si>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</si>
  <si>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(full part number)</t>
  </si>
  <si>
    <t>110VAC</t>
  </si>
  <si>
    <t>9V</t>
  </si>
  <si>
    <t>Total Remaining Current Available on External Power Source 1</t>
  </si>
  <si>
    <t>Battery Life</t>
  </si>
  <si>
    <t>na</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</si>
  <si>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</si>
  <si>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</si>
  <si>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</si>
  <si>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unitA90</t>
  </si>
  <si>
    <r>
      <rPr>
        <rFont val="&quot;Times New Roman&quot;"/>
        <color rgb="FF1155CC"/>
        <sz val="8.0"/>
        <u/>
      </rPr>
      <t>[1]</t>
    </r>
  </si>
  <si>
    <t>For inductive loads (e.g., motors, solenoids) this is often called "stall current" on the data sheet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</si>
</sst>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24.0"/>
      <color rgb="FF000000"/>
      <name val="Calibri"/>
    </font>
    <font/>
    <font>
      <b/>
      <sz val="12.0"/>
      <color rgb="FF000000"/>
      <name val="Calibri"/>
    </font>
    <font>
      <sz val="12.0"/>
      <color theme="1"/>
      <name val="Calibri"/>
    </font>
    <font>
      <sz val="12.0"/>
      <color rgb="FF000000"/>
      <name val="Calibri"/>
    </font>
    <font>
      <b/>
      <sz val="12.0"/>
      <color rgb="FF000000"/>
      <name val="Arial"/>
    </font>
    <font>
      <b/>
      <i/>
      <sz val="12.0"/>
      <color rgb="FF000000"/>
      <name val="Arial"/>
    </font>
    <font>
      <b/>
      <u/>
      <sz val="12.0"/>
      <color rgb="FF0000FF"/>
      <name val="Arial"/>
    </font>
    <font>
      <sz val="12.0"/>
      <color rgb="FF000000"/>
      <name val="Arial"/>
    </font>
    <font>
      <color rgb="FF0F1111"/>
      <name val="Arial"/>
    </font>
    <font>
      <b/>
      <i/>
      <sz val="12.0"/>
      <color rgb="FF000000"/>
      <name val="Calibri"/>
    </font>
    <font>
      <u/>
      <sz val="8.0"/>
      <color rgb="FF000000"/>
      <name val="&quot;Times New Roman&quot;"/>
    </font>
    <font>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6">
    <border/>
    <border>
      <left style="hair">
        <color rgb="FFD3D3D3"/>
      </left>
      <top style="hair">
        <color rgb="FFD3D3D3"/>
      </top>
      <bottom style="hair">
        <color rgb="FFD3D3D3"/>
      </bottom>
    </border>
    <border>
      <top style="hair">
        <color rgb="FFD3D3D3"/>
      </top>
      <bottom style="hair">
        <color rgb="FFD3D3D3"/>
      </bottom>
    </border>
    <border>
      <right style="hair">
        <color rgb="FFD3D3D3"/>
      </right>
      <top style="hair">
        <color rgb="FFD3D3D3"/>
      </top>
      <bottom style="hair">
        <color rgb="FFD3D3D3"/>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hair">
        <color rgb="FFD3D3D3"/>
      </left>
      <right style="hair">
        <color rgb="FFD3D3D3"/>
      </right>
      <top style="hair">
        <color rgb="FFD3D3D3"/>
      </top>
      <bottom style="hair">
        <color rgb="FFD3D3D3"/>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border>
    <border>
      <left style="thin">
        <color rgb="FF000000"/>
      </left>
      <right style="thin">
        <color rgb="FF000000"/>
      </right>
    </border>
    <border>
      <right style="thin">
        <color rgb="FF000000"/>
      </right>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2" numFmtId="0" xfId="0" applyBorder="1" applyFont="1"/>
    <xf borderId="3" fillId="0" fontId="2" numFmtId="0" xfId="0" applyBorder="1" applyFont="1"/>
    <xf borderId="4" fillId="0" fontId="3" numFmtId="0" xfId="0" applyAlignment="1" applyBorder="1" applyFont="1">
      <alignment readingOrder="0" shrinkToFit="0" vertical="bottom" wrapText="1"/>
    </xf>
    <xf borderId="5" fillId="0" fontId="4" numFmtId="0" xfId="0" applyAlignment="1" applyBorder="1" applyFont="1">
      <alignment shrinkToFit="0" vertical="bottom" wrapText="1"/>
    </xf>
    <xf borderId="6" fillId="0" fontId="5" numFmtId="0" xfId="0" applyAlignment="1" applyBorder="1" applyFont="1">
      <alignment shrinkToFit="0" vertical="bottom" wrapText="1"/>
    </xf>
    <xf borderId="6" fillId="0" fontId="3" numFmtId="0" xfId="0" applyAlignment="1" applyBorder="1" applyFont="1">
      <alignment horizontal="center" shrinkToFit="0" vertical="bottom" wrapText="1"/>
    </xf>
    <xf borderId="1" fillId="0" fontId="5" numFmtId="0" xfId="0" applyAlignment="1" applyBorder="1" applyFont="1">
      <alignment shrinkToFit="0" vertical="bottom" wrapText="1"/>
    </xf>
    <xf borderId="7" fillId="0" fontId="6" numFmtId="0" xfId="0" applyAlignment="1" applyBorder="1" applyFont="1">
      <alignment readingOrder="0" shrinkToFit="0" vertical="bottom" wrapText="1"/>
    </xf>
    <xf borderId="8" fillId="0" fontId="3" numFmtId="0" xfId="0" applyAlignment="1" applyBorder="1" applyFont="1">
      <alignment shrinkToFit="0" vertical="bottom" wrapText="1"/>
    </xf>
    <xf borderId="6" fillId="0" fontId="3" numFmtId="0" xfId="0" applyAlignment="1" applyBorder="1" applyFont="1">
      <alignment shrinkToFit="0" vertical="bottom" wrapText="1"/>
    </xf>
    <xf borderId="9" fillId="2" fontId="7" numFmtId="0" xfId="0" applyAlignment="1" applyBorder="1" applyFill="1" applyFont="1">
      <alignment readingOrder="0" shrinkToFit="0" vertical="bottom" wrapText="1"/>
    </xf>
    <xf borderId="10" fillId="0" fontId="2" numFmtId="0" xfId="0" applyBorder="1" applyFont="1"/>
    <xf borderId="5" fillId="0" fontId="2" numFmtId="0" xfId="0" applyBorder="1" applyFont="1"/>
    <xf borderId="11" fillId="3" fontId="6" numFmtId="0" xfId="0" applyAlignment="1" applyBorder="1" applyFill="1" applyFont="1">
      <alignment horizontal="center" readingOrder="0" shrinkToFit="0" vertical="bottom" wrapText="1"/>
    </xf>
    <xf borderId="12" fillId="3" fontId="3" numFmtId="0" xfId="0" applyAlignment="1" applyBorder="1" applyFont="1">
      <alignment horizontal="center" readingOrder="0" shrinkToFit="0" vertical="bottom" wrapText="1"/>
    </xf>
    <xf borderId="12" fillId="3" fontId="6" numFmtId="0" xfId="0" applyAlignment="1" applyBorder="1" applyFont="1">
      <alignment horizontal="center" readingOrder="0" shrinkToFit="0" vertical="bottom" wrapText="1"/>
    </xf>
    <xf borderId="12" fillId="0" fontId="8" numFmtId="0" xfId="0" applyAlignment="1" applyBorder="1" applyFont="1">
      <alignment horizontal="center" readingOrder="0" shrinkToFit="0" vertical="bottom" wrapText="1"/>
    </xf>
    <xf borderId="7" fillId="3" fontId="6" numFmtId="0" xfId="0" applyAlignment="1" applyBorder="1" applyFont="1">
      <alignment horizontal="center" readingOrder="0" shrinkToFit="0" vertical="bottom" wrapText="1"/>
    </xf>
    <xf borderId="8" fillId="3" fontId="6" numFmtId="0" xfId="0" applyAlignment="1" applyBorder="1" applyFont="1">
      <alignment horizontal="center" readingOrder="0" shrinkToFit="0" vertical="bottom" wrapText="1"/>
    </xf>
    <xf borderId="13" fillId="0" fontId="5" numFmtId="0" xfId="0" applyAlignment="1" applyBorder="1" applyFont="1">
      <alignment shrinkToFit="0" vertical="bottom" wrapText="1"/>
    </xf>
    <xf borderId="6" fillId="0" fontId="5" numFmtId="0" xfId="0" applyAlignment="1" applyBorder="1" applyFont="1">
      <alignment readingOrder="0" shrinkToFit="0" vertical="bottom" wrapText="1"/>
    </xf>
    <xf borderId="6" fillId="0" fontId="9" numFmtId="0" xfId="0" applyAlignment="1" applyBorder="1" applyFont="1">
      <alignment horizontal="center" readingOrder="0" shrinkToFit="0" vertical="bottom" wrapText="1"/>
    </xf>
    <xf borderId="6" fillId="0" fontId="5" numFmtId="0" xfId="0" applyAlignment="1" applyBorder="1" applyFont="1">
      <alignment horizontal="center" readingOrder="0" shrinkToFit="0" vertical="bottom" wrapText="1"/>
    </xf>
    <xf borderId="6" fillId="0" fontId="5" numFmtId="0" xfId="0" applyAlignment="1" applyBorder="1" applyFont="1">
      <alignment horizontal="right" readingOrder="0" shrinkToFit="0" vertical="bottom" wrapText="1"/>
    </xf>
    <xf borderId="14" fillId="0" fontId="5" numFmtId="0" xfId="0" applyAlignment="1" applyBorder="1" applyFont="1">
      <alignment horizontal="right" readingOrder="0" shrinkToFit="0" vertical="bottom" wrapText="1"/>
    </xf>
    <xf borderId="15" fillId="0" fontId="9" numFmtId="0" xfId="0" applyAlignment="1" applyBorder="1" applyFont="1">
      <alignment readingOrder="0" shrinkToFit="0" vertical="bottom" wrapText="1"/>
    </xf>
    <xf borderId="0" fillId="4" fontId="10" numFmtId="0" xfId="0" applyAlignment="1" applyFill="1" applyFont="1">
      <alignment readingOrder="0"/>
    </xf>
    <xf borderId="6" fillId="0" fontId="9" numFmtId="0" xfId="0" applyAlignment="1" applyBorder="1" applyFont="1">
      <alignment readingOrder="0" shrinkToFit="0" vertical="bottom" wrapText="1"/>
    </xf>
    <xf borderId="6" fillId="0" fontId="9" numFmtId="0" xfId="0" applyAlignment="1" applyBorder="1" applyFont="1">
      <alignment horizontal="center" shrinkToFit="0" vertical="bottom" wrapText="1"/>
    </xf>
    <xf borderId="6" fillId="0" fontId="9" numFmtId="0" xfId="0" applyAlignment="1" applyBorder="1" applyFont="1">
      <alignment horizontal="right" readingOrder="0" shrinkToFit="0" vertical="bottom" wrapText="1"/>
    </xf>
    <xf borderId="13" fillId="0" fontId="3" numFmtId="0" xfId="0" applyAlignment="1" applyBorder="1" applyFont="1">
      <alignment shrinkToFit="0" vertical="bottom" wrapText="1"/>
    </xf>
    <xf borderId="6" fillId="0" fontId="6" numFmtId="0" xfId="0" applyAlignment="1" applyBorder="1" applyFont="1">
      <alignment shrinkToFit="0" vertical="bottom" wrapText="1"/>
    </xf>
    <xf borderId="6" fillId="0" fontId="6" numFmtId="0" xfId="0" applyAlignment="1" applyBorder="1" applyFont="1">
      <alignment horizontal="center" shrinkToFit="0" vertical="bottom" wrapText="1"/>
    </xf>
    <xf borderId="14" fillId="0" fontId="3" numFmtId="0" xfId="0" applyAlignment="1" applyBorder="1" applyFont="1">
      <alignment shrinkToFit="0" vertical="bottom" wrapText="1"/>
    </xf>
    <xf borderId="15" fillId="0" fontId="3" numFmtId="0" xfId="0" applyAlignment="1" applyBorder="1" applyFont="1">
      <alignment shrinkToFit="0" vertical="bottom" wrapText="1"/>
    </xf>
    <xf borderId="11" fillId="3" fontId="9" numFmtId="0" xfId="0" applyAlignment="1" applyBorder="1" applyFont="1">
      <alignment readingOrder="0" shrinkToFit="0" vertical="bottom" wrapText="1"/>
    </xf>
    <xf borderId="6" fillId="0" fontId="5" numFmtId="0" xfId="0" applyAlignment="1" applyBorder="1" applyFont="1">
      <alignment horizontal="center" shrinkToFit="0" vertical="bottom" wrapText="1"/>
    </xf>
    <xf borderId="1" fillId="0" fontId="11" numFmtId="0" xfId="0" applyAlignment="1" applyBorder="1" applyFont="1">
      <alignment horizontal="right" readingOrder="0" shrinkToFit="0" vertical="bottom" wrapText="1"/>
    </xf>
    <xf borderId="14" fillId="0" fontId="5" numFmtId="9" xfId="0" applyAlignment="1" applyBorder="1" applyFont="1" applyNumberFormat="1">
      <alignment horizontal="right" readingOrder="0" shrinkToFit="0" vertical="bottom" wrapText="1"/>
    </xf>
    <xf borderId="15" fillId="0" fontId="5" numFmtId="0" xfId="0" applyAlignment="1" applyBorder="1" applyFont="1">
      <alignment shrinkToFit="0" vertical="bottom" wrapText="1"/>
    </xf>
    <xf borderId="13" fillId="0" fontId="11" numFmtId="0" xfId="0" applyAlignment="1" applyBorder="1" applyFont="1">
      <alignment shrinkToFit="0" vertical="bottom" wrapText="1"/>
    </xf>
    <xf borderId="1" fillId="0" fontId="7" numFmtId="0" xfId="0" applyAlignment="1" applyBorder="1" applyFont="1">
      <alignment horizontal="right" readingOrder="0" shrinkToFit="0" vertical="bottom" wrapText="1"/>
    </xf>
    <xf borderId="13" fillId="0" fontId="7" numFmtId="0" xfId="0" applyAlignment="1" applyBorder="1" applyFont="1">
      <alignment horizontal="left" shrinkToFit="0" vertical="bottom" wrapText="1"/>
    </xf>
    <xf borderId="6" fillId="0" fontId="9" numFmtId="0" xfId="0" applyAlignment="1" applyBorder="1" applyFont="1">
      <alignment horizontal="left" shrinkToFit="0" vertical="bottom" wrapText="1"/>
    </xf>
    <xf borderId="6" fillId="0" fontId="9" numFmtId="0" xfId="0" applyAlignment="1" applyBorder="1" applyFont="1">
      <alignment horizontal="right" shrinkToFit="0" vertical="bottom" wrapText="1"/>
    </xf>
    <xf borderId="14" fillId="0" fontId="5" numFmtId="0" xfId="0" applyAlignment="1" applyBorder="1" applyFont="1">
      <alignment horizontal="right" shrinkToFit="0" vertical="bottom" wrapText="1"/>
    </xf>
    <xf borderId="13" fillId="0" fontId="7" numFmtId="0" xfId="0" applyAlignment="1" applyBorder="1" applyFont="1">
      <alignment shrinkToFit="0" vertical="bottom" wrapText="1"/>
    </xf>
    <xf borderId="6" fillId="0" fontId="7" numFmtId="0" xfId="0" applyAlignment="1" applyBorder="1" applyFont="1">
      <alignment shrinkToFit="0" vertical="bottom" wrapText="1"/>
    </xf>
    <xf borderId="14" fillId="0" fontId="7" numFmtId="0" xfId="0" applyAlignment="1" applyBorder="1" applyFont="1">
      <alignment shrinkToFit="0" vertical="bottom" wrapText="1"/>
    </xf>
    <xf borderId="11" fillId="0" fontId="7" numFmtId="0" xfId="0" applyAlignment="1" applyBorder="1" applyFont="1">
      <alignment shrinkToFit="0" vertical="bottom" wrapText="1"/>
    </xf>
    <xf borderId="12" fillId="0" fontId="2" numFmtId="0" xfId="0" applyBorder="1" applyFont="1"/>
    <xf borderId="8" fillId="0" fontId="2" numFmtId="0" xfId="0" applyBorder="1" applyFont="1"/>
    <xf borderId="11" fillId="3" fontId="7" numFmtId="0" xfId="0" applyAlignment="1" applyBorder="1" applyFont="1">
      <alignment readingOrder="0" shrinkToFit="0" vertical="bottom" wrapText="1"/>
    </xf>
    <xf borderId="13" fillId="0" fontId="6" numFmtId="0" xfId="0" applyAlignment="1" applyBorder="1" applyFont="1">
      <alignment horizontal="left" readingOrder="0" shrinkToFit="0" vertical="bottom" wrapText="1"/>
    </xf>
    <xf borderId="6" fillId="0" fontId="9" numFmtId="0" xfId="0" applyAlignment="1" applyBorder="1" applyFont="1">
      <alignment horizontal="left" readingOrder="0" shrinkToFit="0" vertical="bottom" wrapText="1"/>
    </xf>
    <xf borderId="14" fillId="0" fontId="9" numFmtId="0" xfId="0" applyAlignment="1" applyBorder="1" applyFont="1">
      <alignment horizontal="right" readingOrder="0" shrinkToFit="0" vertical="bottom" wrapText="1"/>
    </xf>
    <xf borderId="15" fillId="0" fontId="9" numFmtId="0" xfId="0" applyAlignment="1" applyBorder="1" applyFont="1">
      <alignment horizontal="left" readingOrder="0" shrinkToFit="0" vertical="bottom" wrapText="1"/>
    </xf>
    <xf borderId="13" fillId="0" fontId="6" numFmtId="0" xfId="0" applyAlignment="1" applyBorder="1" applyFont="1">
      <alignment horizontal="center" shrinkToFit="0" vertical="bottom" wrapText="1"/>
    </xf>
    <xf borderId="14" fillId="0" fontId="6" numFmtId="0" xfId="0" applyAlignment="1" applyBorder="1" applyFont="1">
      <alignment horizontal="center" shrinkToFit="0" vertical="bottom" wrapText="1"/>
    </xf>
    <xf borderId="15" fillId="0" fontId="6" numFmtId="0" xfId="0" applyAlignment="1" applyBorder="1" applyFont="1">
      <alignment horizontal="center" shrinkToFit="0" vertical="bottom" wrapText="1"/>
    </xf>
    <xf borderId="6" fillId="0" fontId="11" numFmtId="0" xfId="0" applyAlignment="1" applyBorder="1" applyFont="1">
      <alignment horizontal="right" readingOrder="0" shrinkToFit="0" vertical="bottom" wrapText="1"/>
    </xf>
    <xf borderId="1" fillId="2" fontId="7" numFmtId="0" xfId="0" applyAlignment="1" applyBorder="1" applyFont="1">
      <alignment readingOrder="0" shrinkToFit="0" vertical="bottom" wrapText="1"/>
    </xf>
    <xf borderId="6" fillId="2" fontId="5" numFmtId="0" xfId="0" applyAlignment="1" applyBorder="1" applyFont="1">
      <alignment shrinkToFit="0" vertical="bottom" wrapText="1"/>
    </xf>
    <xf borderId="1" fillId="0" fontId="9" numFmtId="0" xfId="0" applyAlignment="1" applyBorder="1" applyFont="1">
      <alignment readingOrder="0" shrinkToFit="0" vertical="bottom" wrapText="1"/>
    </xf>
    <xf borderId="1" fillId="4" fontId="9" numFmtId="0" xfId="0" applyAlignment="1" applyBorder="1" applyFont="1">
      <alignment horizontal="left" readingOrder="0" shrinkToFit="0" vertical="bottom" wrapText="1"/>
    </xf>
    <xf borderId="0" fillId="0" fontId="12" numFmtId="0" xfId="0" applyAlignment="1" applyFont="1">
      <alignment horizontal="left" readingOrder="0" shrinkToFit="0" wrapText="1"/>
    </xf>
    <xf borderId="0" fillId="0" fontId="13" numFmtId="0" xfId="0" applyAlignment="1" applyFont="1">
      <alignment shrinkToFit="0" wrapText="1"/>
    </xf>
    <xf borderId="0" fillId="0" fontId="5"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c384052c3dc990ccd445adfb025.previews.dropboxusercontent.com/p/xls_html/AC_LvBIL-XTsUIjsXEYr51RR1Ecz8D5vT-D7q0cMNyfrmN-TPxYBzGtwH5hK-xbS-eipgVbtCo9npMJvJ4Acw8X09ByqDPUQYkTypiwkxIeEOpEssz8UOD4v_ZMouOevHXhlxc4S802hSjQkc7wuYeISZh4zgriw6QgiwHQuoNeoIMmZje_edqmJlLMF7lMzonmYksVhuYsFU9YyeBxRPMxbS6RhZJMiFQMtkEAuBSh0BMIMXUSFeU5I9uUaGtR7NTAiGyOozsfwL5mHgeiXLwf472iBHess4ZI7ABLpXLe9JnGElrTJa8XhgSFZxvXEMpXiywXqj9u-T9QADYNRnSHPiNZ3nclN77Ng9mrs2PLKOD2ggvEdKxSOF41yEn4zqwI/p.html?is_prewarmed=true" TargetMode="External"/><Relationship Id="rId2" Type="http://schemas.openxmlformats.org/officeDocument/2006/relationships/hyperlink" Target="https://uc384052c3dc990ccd445adfb025.previews.dropboxusercontent.com/p/xls_html/AC_LvBIL-XTsUIjsXEYr51RR1Ecz8D5vT-D7q0cMNyfrmN-TPxYBzGtwH5hK-xbS-eipgVbtCo9npMJvJ4Acw8X09ByqDPUQYkTypiwkxIeEOpEssz8UOD4v_ZMouOevHXhlxc4S802hSjQkc7wuYeISZh4zgriw6QgiwHQuoNeoIMmZje_edqmJlLMF7lMzonmYksVhuYsFU9YyeBxRPMxbS6RhZJMiFQMtkEAuBSh0BMIMXUSFeU5I9uUaGtR7NTAiGyOozsfwL5mHgeiXLwf472iBHess4ZI7ABLpXLe9JnGElrTJa8XhgSFZxvXEMpXiywXqj9u-T9QADYNRnSHPiNZ3nclN77Ng9mrs2PLKOD2ggvEdKxSOF41yEn4zqwI/p.html?is_prewarmed=tru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63"/>
    <col customWidth="1" min="2" max="2" width="17.25"/>
    <col customWidth="1" min="3" max="3" width="17.88"/>
    <col customWidth="1" min="4" max="4" width="19.63"/>
    <col customWidth="1" min="5" max="5" width="18.13"/>
    <col customWidth="1" min="6" max="6" width="18.25"/>
    <col customWidth="1" min="7" max="7" width="17.38"/>
    <col customWidth="1" min="8" max="8" width="18.25"/>
  </cols>
  <sheetData>
    <row r="1">
      <c r="A1" s="1" t="s">
        <v>0</v>
      </c>
      <c r="B1" s="2"/>
      <c r="C1" s="2"/>
      <c r="D1" s="2"/>
      <c r="E1" s="2"/>
      <c r="F1" s="2"/>
      <c r="G1" s="2"/>
      <c r="H1" s="3"/>
    </row>
    <row r="2">
      <c r="A2" s="4" t="s">
        <v>1</v>
      </c>
      <c r="B2" s="5"/>
      <c r="C2" s="6"/>
      <c r="D2" s="7"/>
      <c r="E2" s="7"/>
      <c r="F2" s="8"/>
      <c r="G2" s="2"/>
      <c r="H2" s="3"/>
    </row>
    <row r="3">
      <c r="A3" s="9" t="s">
        <v>2</v>
      </c>
      <c r="B3" s="10"/>
      <c r="C3" s="11"/>
      <c r="D3" s="7"/>
      <c r="E3" s="7"/>
      <c r="F3" s="11"/>
      <c r="G3" s="11"/>
      <c r="H3" s="11"/>
    </row>
    <row r="4">
      <c r="A4" s="9" t="s">
        <v>3</v>
      </c>
      <c r="B4" s="10"/>
      <c r="C4" s="11"/>
      <c r="D4" s="7"/>
      <c r="E4" s="7"/>
      <c r="F4" s="11"/>
      <c r="G4" s="11"/>
      <c r="H4" s="11"/>
    </row>
    <row r="5">
      <c r="A5" s="9" t="s">
        <v>4</v>
      </c>
      <c r="B5" s="10"/>
      <c r="C5" s="11"/>
      <c r="D5" s="7"/>
      <c r="E5" s="7"/>
      <c r="F5" s="11"/>
      <c r="G5" s="11"/>
      <c r="H5" s="11"/>
    </row>
    <row r="6">
      <c r="A6" s="8"/>
      <c r="B6" s="2"/>
      <c r="C6" s="2"/>
      <c r="D6" s="2"/>
      <c r="E6" s="2"/>
      <c r="F6" s="2"/>
      <c r="G6" s="2"/>
      <c r="H6" s="3"/>
    </row>
    <row r="7">
      <c r="A7" s="12" t="s">
        <v>5</v>
      </c>
      <c r="B7" s="13"/>
      <c r="C7" s="13"/>
      <c r="D7" s="13"/>
      <c r="E7" s="13"/>
      <c r="F7" s="13"/>
      <c r="G7" s="13"/>
      <c r="H7" s="14"/>
    </row>
    <row r="8">
      <c r="A8" s="15" t="s">
        <v>6</v>
      </c>
      <c r="B8" s="16" t="s">
        <v>7</v>
      </c>
      <c r="C8" s="16" t="s">
        <v>8</v>
      </c>
      <c r="D8" s="17" t="s">
        <v>9</v>
      </c>
      <c r="E8" s="17" t="s">
        <v>10</v>
      </c>
      <c r="F8" s="18" t="s">
        <v>11</v>
      </c>
      <c r="G8" s="19" t="s">
        <v>12</v>
      </c>
      <c r="H8" s="20" t="s">
        <v>13</v>
      </c>
    </row>
    <row r="9">
      <c r="A9" s="21"/>
      <c r="B9" s="22" t="s">
        <v>14</v>
      </c>
      <c r="C9" s="22" t="s">
        <v>15</v>
      </c>
      <c r="D9" s="23" t="s">
        <v>16</v>
      </c>
      <c r="E9" s="24">
        <v>1.0</v>
      </c>
      <c r="F9" s="25">
        <v>379.0</v>
      </c>
      <c r="G9" s="26">
        <f t="shared" ref="G9:G10" si="1">E9*F9</f>
        <v>379</v>
      </c>
      <c r="H9" s="27" t="s">
        <v>17</v>
      </c>
    </row>
    <row r="10">
      <c r="A10" s="21"/>
      <c r="B10" s="22" t="s">
        <v>18</v>
      </c>
      <c r="C10" s="28" t="s">
        <v>19</v>
      </c>
      <c r="D10" s="23" t="s">
        <v>20</v>
      </c>
      <c r="E10" s="24">
        <v>1.0</v>
      </c>
      <c r="F10" s="25">
        <v>30.0</v>
      </c>
      <c r="G10" s="26">
        <f t="shared" si="1"/>
        <v>30</v>
      </c>
      <c r="H10" s="27" t="s">
        <v>17</v>
      </c>
    </row>
    <row r="11">
      <c r="A11" s="21"/>
      <c r="B11" s="22"/>
      <c r="C11" s="22"/>
      <c r="D11" s="24"/>
      <c r="E11" s="24"/>
      <c r="F11" s="25"/>
      <c r="G11" s="26"/>
      <c r="H11" s="27" t="s">
        <v>17</v>
      </c>
    </row>
    <row r="12">
      <c r="A12" s="21"/>
      <c r="B12" s="29"/>
      <c r="C12" s="29"/>
      <c r="D12" s="30"/>
      <c r="E12" s="23"/>
      <c r="F12" s="31"/>
      <c r="G12" s="26"/>
      <c r="H12" s="27" t="s">
        <v>17</v>
      </c>
    </row>
    <row r="13">
      <c r="A13" s="21"/>
      <c r="B13" s="22"/>
      <c r="C13" s="29"/>
      <c r="D13" s="30"/>
      <c r="E13" s="24"/>
      <c r="F13" s="25"/>
      <c r="G13" s="26"/>
      <c r="H13" s="27" t="s">
        <v>17</v>
      </c>
    </row>
    <row r="14">
      <c r="A14" s="21"/>
      <c r="B14" s="29"/>
      <c r="C14" s="22"/>
      <c r="D14" s="30"/>
      <c r="E14" s="24"/>
      <c r="F14" s="25"/>
      <c r="G14" s="26"/>
      <c r="H14" s="27" t="s">
        <v>17</v>
      </c>
    </row>
    <row r="15">
      <c r="A15" s="32"/>
      <c r="B15" s="33"/>
      <c r="C15" s="11"/>
      <c r="D15" s="34"/>
      <c r="E15" s="7"/>
      <c r="F15" s="11"/>
      <c r="G15" s="35"/>
      <c r="H15" s="36"/>
    </row>
    <row r="16">
      <c r="A16" s="12" t="s">
        <v>21</v>
      </c>
      <c r="B16" s="13"/>
      <c r="C16" s="13"/>
      <c r="D16" s="13"/>
      <c r="E16" s="13"/>
      <c r="F16" s="13"/>
      <c r="G16" s="13"/>
      <c r="H16" s="14"/>
    </row>
    <row r="17">
      <c r="A17" s="37" t="s">
        <v>22</v>
      </c>
      <c r="B17" s="16" t="s">
        <v>7</v>
      </c>
      <c r="C17" s="16" t="s">
        <v>8</v>
      </c>
      <c r="D17" s="17" t="s">
        <v>9</v>
      </c>
      <c r="E17" s="17" t="s">
        <v>10</v>
      </c>
      <c r="F17" s="17" t="s">
        <v>23</v>
      </c>
      <c r="G17" s="19" t="s">
        <v>12</v>
      </c>
      <c r="H17" s="20" t="s">
        <v>13</v>
      </c>
    </row>
    <row r="18">
      <c r="A18" s="21"/>
      <c r="B18" s="22" t="s">
        <v>14</v>
      </c>
      <c r="C18" s="22" t="s">
        <v>15</v>
      </c>
      <c r="D18" s="23" t="s">
        <v>16</v>
      </c>
      <c r="E18" s="24">
        <v>1.0</v>
      </c>
      <c r="F18" s="25">
        <v>379.0</v>
      </c>
      <c r="G18" s="26">
        <f t="shared" ref="G18:G19" si="2">E18*F18</f>
        <v>379</v>
      </c>
      <c r="H18" s="27" t="s">
        <v>17</v>
      </c>
    </row>
    <row r="19">
      <c r="A19" s="21"/>
      <c r="B19" s="22" t="s">
        <v>18</v>
      </c>
      <c r="C19" s="28" t="s">
        <v>19</v>
      </c>
      <c r="D19" s="23" t="s">
        <v>20</v>
      </c>
      <c r="E19" s="24">
        <v>1.0</v>
      </c>
      <c r="F19" s="25">
        <v>30.0</v>
      </c>
      <c r="G19" s="26">
        <f t="shared" si="2"/>
        <v>30</v>
      </c>
      <c r="H19" s="27" t="s">
        <v>17</v>
      </c>
    </row>
    <row r="20">
      <c r="A20" s="21"/>
      <c r="B20" s="6"/>
      <c r="C20" s="6"/>
      <c r="D20" s="38"/>
      <c r="E20" s="38"/>
      <c r="F20" s="6"/>
      <c r="G20" s="26"/>
      <c r="H20" s="27" t="s">
        <v>17</v>
      </c>
    </row>
    <row r="21">
      <c r="A21" s="21"/>
      <c r="B21" s="6"/>
      <c r="C21" s="6"/>
      <c r="D21" s="38"/>
      <c r="E21" s="38"/>
      <c r="F21" s="6"/>
      <c r="G21" s="26"/>
      <c r="H21" s="27" t="s">
        <v>17</v>
      </c>
    </row>
    <row r="22">
      <c r="A22" s="21"/>
      <c r="B22" s="6"/>
      <c r="C22" s="6"/>
      <c r="D22" s="38"/>
      <c r="E22" s="38"/>
      <c r="F22" s="6"/>
      <c r="G22" s="26"/>
      <c r="H22" s="27" t="s">
        <v>17</v>
      </c>
    </row>
    <row r="23">
      <c r="A23" s="21"/>
      <c r="B23" s="39" t="s">
        <v>24</v>
      </c>
      <c r="C23" s="2"/>
      <c r="D23" s="2"/>
      <c r="E23" s="2"/>
      <c r="F23" s="3"/>
      <c r="G23" s="26">
        <f>SUM(G18:G22)</f>
        <v>409</v>
      </c>
      <c r="H23" s="27" t="s">
        <v>17</v>
      </c>
    </row>
    <row r="24">
      <c r="A24" s="21"/>
      <c r="B24" s="39" t="s">
        <v>25</v>
      </c>
      <c r="C24" s="2"/>
      <c r="D24" s="2"/>
      <c r="E24" s="2"/>
      <c r="F24" s="3"/>
      <c r="G24" s="40">
        <v>0.25</v>
      </c>
      <c r="H24" s="41"/>
    </row>
    <row r="25">
      <c r="A25" s="42"/>
      <c r="B25" s="43" t="s">
        <v>26</v>
      </c>
      <c r="C25" s="2"/>
      <c r="D25" s="2"/>
      <c r="E25" s="2"/>
      <c r="F25" s="3"/>
      <c r="G25" s="26">
        <f>G23*(1+G24)</f>
        <v>511.25</v>
      </c>
      <c r="H25" s="27" t="s">
        <v>17</v>
      </c>
    </row>
    <row r="26">
      <c r="A26" s="44"/>
      <c r="B26" s="45"/>
      <c r="C26" s="45"/>
      <c r="D26" s="30"/>
      <c r="E26" s="30"/>
      <c r="F26" s="46"/>
      <c r="G26" s="47"/>
      <c r="H26" s="41"/>
    </row>
    <row r="27">
      <c r="A27" s="48"/>
      <c r="B27" s="49"/>
      <c r="C27" s="49"/>
      <c r="D27" s="49"/>
      <c r="E27" s="49"/>
      <c r="F27" s="49"/>
      <c r="G27" s="48"/>
      <c r="H27" s="50"/>
    </row>
    <row r="28">
      <c r="A28" s="12" t="s">
        <v>27</v>
      </c>
      <c r="B28" s="13"/>
      <c r="C28" s="13"/>
      <c r="D28" s="13"/>
      <c r="E28" s="13"/>
      <c r="F28" s="13"/>
      <c r="G28" s="13"/>
      <c r="H28" s="14"/>
    </row>
    <row r="29">
      <c r="A29" s="51"/>
      <c r="B29" s="52"/>
      <c r="C29" s="52"/>
      <c r="D29" s="52"/>
      <c r="E29" s="52"/>
      <c r="F29" s="52"/>
      <c r="G29" s="52"/>
      <c r="H29" s="53"/>
    </row>
    <row r="30">
      <c r="A30" s="12" t="s">
        <v>28</v>
      </c>
      <c r="B30" s="13"/>
      <c r="C30" s="13"/>
      <c r="D30" s="13"/>
      <c r="E30" s="13"/>
      <c r="F30" s="13"/>
      <c r="G30" s="13"/>
      <c r="H30" s="14"/>
    </row>
    <row r="31">
      <c r="A31" s="54" t="s">
        <v>29</v>
      </c>
      <c r="B31" s="16" t="s">
        <v>7</v>
      </c>
      <c r="C31" s="16" t="s">
        <v>8</v>
      </c>
      <c r="D31" s="17" t="s">
        <v>9</v>
      </c>
      <c r="E31" s="17" t="s">
        <v>30</v>
      </c>
      <c r="F31" s="17" t="s">
        <v>23</v>
      </c>
      <c r="G31" s="19" t="s">
        <v>12</v>
      </c>
      <c r="H31" s="20" t="s">
        <v>13</v>
      </c>
    </row>
    <row r="32">
      <c r="A32" s="55" t="s">
        <v>31</v>
      </c>
      <c r="B32" s="56" t="s">
        <v>32</v>
      </c>
      <c r="C32" s="23" t="s">
        <v>33</v>
      </c>
      <c r="D32" s="23" t="s">
        <v>34</v>
      </c>
      <c r="E32" s="23" t="s">
        <v>35</v>
      </c>
      <c r="F32" s="31">
        <v>5000.0</v>
      </c>
      <c r="G32" s="57">
        <v>5000.0</v>
      </c>
      <c r="H32" s="58" t="s">
        <v>17</v>
      </c>
    </row>
    <row r="33">
      <c r="A33" s="59"/>
      <c r="B33" s="43" t="s">
        <v>36</v>
      </c>
      <c r="C33" s="2"/>
      <c r="D33" s="2"/>
      <c r="E33" s="2"/>
      <c r="F33" s="3"/>
      <c r="G33" s="57">
        <f>G32-G25</f>
        <v>4488.75</v>
      </c>
      <c r="H33" s="58" t="s">
        <v>17</v>
      </c>
    </row>
    <row r="34">
      <c r="A34" s="59"/>
      <c r="B34" s="7"/>
      <c r="C34" s="7"/>
      <c r="D34" s="34"/>
      <c r="E34" s="34"/>
      <c r="F34" s="34"/>
      <c r="G34" s="60"/>
      <c r="H34" s="61"/>
    </row>
    <row r="35">
      <c r="A35" s="21"/>
      <c r="B35" s="6"/>
      <c r="C35" s="6"/>
      <c r="D35" s="38"/>
      <c r="E35" s="38"/>
      <c r="F35" s="62" t="s">
        <v>37</v>
      </c>
      <c r="G35" s="26" t="s">
        <v>38</v>
      </c>
      <c r="H35" s="27" t="s">
        <v>39</v>
      </c>
    </row>
    <row r="36">
      <c r="A36" s="63" t="s">
        <v>40</v>
      </c>
      <c r="B36" s="2"/>
      <c r="C36" s="2"/>
      <c r="D36" s="2"/>
      <c r="E36" s="2"/>
      <c r="F36" s="3"/>
      <c r="G36" s="64"/>
      <c r="H36" s="64"/>
    </row>
    <row r="37">
      <c r="A37" s="65" t="s">
        <v>41</v>
      </c>
      <c r="B37" s="2"/>
      <c r="C37" s="2"/>
      <c r="D37" s="2"/>
      <c r="E37" s="2"/>
      <c r="F37" s="2"/>
      <c r="G37" s="2"/>
      <c r="H37" s="3"/>
    </row>
    <row r="38">
      <c r="A38" s="66" t="s">
        <v>42</v>
      </c>
      <c r="B38" s="2"/>
      <c r="C38" s="2"/>
      <c r="D38" s="2"/>
      <c r="E38" s="2"/>
      <c r="F38" s="2"/>
      <c r="G38" s="2"/>
      <c r="H38" s="3"/>
    </row>
    <row r="39">
      <c r="A39" s="67" t="s">
        <v>43</v>
      </c>
      <c r="B39" s="68"/>
      <c r="C39" s="68"/>
      <c r="D39" s="68"/>
      <c r="E39" s="68"/>
      <c r="F39" s="68"/>
      <c r="G39" s="68"/>
      <c r="H39" s="68"/>
    </row>
    <row r="40">
      <c r="A40" s="69" t="s">
        <v>44</v>
      </c>
      <c r="B40" s="68"/>
      <c r="C40" s="68"/>
      <c r="D40" s="68"/>
      <c r="E40" s="68"/>
      <c r="F40" s="68"/>
      <c r="G40" s="68"/>
      <c r="H40" s="68"/>
    </row>
    <row r="41">
      <c r="A41" s="68"/>
      <c r="B41" s="68"/>
      <c r="C41" s="68"/>
      <c r="D41" s="68"/>
      <c r="E41" s="68"/>
      <c r="F41" s="68"/>
      <c r="G41" s="68"/>
      <c r="H41" s="68"/>
    </row>
    <row r="42">
      <c r="A42" s="68"/>
      <c r="B42" s="68"/>
      <c r="C42" s="68"/>
      <c r="D42" s="68"/>
      <c r="E42" s="68"/>
      <c r="F42" s="68"/>
      <c r="G42" s="68"/>
      <c r="H42" s="68"/>
    </row>
    <row r="43">
      <c r="A43" s="68"/>
      <c r="B43" s="68"/>
      <c r="C43" s="68"/>
      <c r="D43" s="68"/>
      <c r="E43" s="68"/>
      <c r="F43" s="68"/>
      <c r="G43" s="68"/>
      <c r="H43" s="68"/>
    </row>
    <row r="44">
      <c r="A44" s="68"/>
      <c r="B44" s="68"/>
      <c r="C44" s="68"/>
      <c r="D44" s="68"/>
      <c r="E44" s="68"/>
      <c r="F44" s="68"/>
      <c r="G44" s="68"/>
      <c r="H44" s="68"/>
    </row>
  </sheetData>
  <mergeCells count="15">
    <mergeCell ref="A1:H1"/>
    <mergeCell ref="F2:H2"/>
    <mergeCell ref="A6:H6"/>
    <mergeCell ref="A7:H7"/>
    <mergeCell ref="A16:H16"/>
    <mergeCell ref="B23:F23"/>
    <mergeCell ref="B24:F24"/>
    <mergeCell ref="A36:F36"/>
    <mergeCell ref="A37:H37"/>
    <mergeCell ref="A38:H38"/>
    <mergeCell ref="A28:H28"/>
    <mergeCell ref="A29:H29"/>
    <mergeCell ref="A30:H30"/>
    <mergeCell ref="B33:F33"/>
    <mergeCell ref="B25:F25"/>
  </mergeCells>
  <hyperlinks>
    <hyperlink r:id="rId1" ref="F8"/>
    <hyperlink r:id="rId2" ref="A39"/>
  </hyperlinks>
  <printOptions gridLines="1" horizontalCentered="1"/>
  <pageMargins bottom="0.75" footer="0.0" header="0.0" left="0.7" right="0.7" top="0.75"/>
  <pageSetup fitToHeight="0" cellComments="atEnd" orientation="landscape" pageOrder="overThenDown"/>
  <drawing r:id="rId3"/>
</worksheet>
</file>